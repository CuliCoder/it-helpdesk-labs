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Desktop\"/>
    </mc:Choice>
  </mc:AlternateContent>
  <xr:revisionPtr revIDLastSave="0" documentId="13_ncr:1_{53641AA5-E2DC-46D2-A3DA-5BCB972AD9E0}" xr6:coauthVersionLast="47" xr6:coauthVersionMax="47" xr10:uidLastSave="{00000000-0000-0000-0000-000000000000}"/>
  <bookViews>
    <workbookView xWindow="-120" yWindow="-120" windowWidth="29040" windowHeight="15720" xr2:uid="{4780CB66-A251-4958-BAF9-427860E06A88}"/>
  </bookViews>
  <sheets>
    <sheet name="Sheet3" sheetId="3" r:id="rId1"/>
    <sheet name="BangLuong" sheetId="1" r:id="rId2"/>
    <sheet name="TraCuu" sheetId="2" r:id="rId3"/>
  </sheets>
  <definedNames>
    <definedName name="_xlnm._FilterDatabase" localSheetId="1" hidden="1">BangLuong!$A$1:$F$16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2" l="1"/>
  <c r="B3" i="2"/>
  <c r="B2" i="2"/>
  <c r="F3" i="1"/>
  <c r="F4" i="1"/>
  <c r="F11" i="1"/>
  <c r="F6" i="1"/>
  <c r="F7" i="1"/>
  <c r="F8" i="1"/>
  <c r="F9" i="1"/>
  <c r="F10" i="1"/>
  <c r="F13" i="1"/>
  <c r="F12" i="1"/>
  <c r="F5" i="1"/>
  <c r="F14" i="1"/>
  <c r="F15" i="1"/>
  <c r="F16" i="1"/>
  <c r="F2" i="1"/>
  <c r="D19" i="1"/>
  <c r="D18" i="1"/>
</calcChain>
</file>

<file path=xl/sharedStrings.xml><?xml version="1.0" encoding="utf-8"?>
<sst xmlns="http://schemas.openxmlformats.org/spreadsheetml/2006/main" count="65" uniqueCount="46">
  <si>
    <t>Mã NV</t>
  </si>
  <si>
    <t>Họ tên</t>
  </si>
  <si>
    <t>Phòng ban</t>
  </si>
  <si>
    <t>Lương</t>
  </si>
  <si>
    <t>Ngày vào làm</t>
  </si>
  <si>
    <t>NV001</t>
  </si>
  <si>
    <t>Nguyễn Văn An</t>
  </si>
  <si>
    <t>Kế toán</t>
  </si>
  <si>
    <t>NV002</t>
  </si>
  <si>
    <t>Trần Thị Bình</t>
  </si>
  <si>
    <t>Nhân sự</t>
  </si>
  <si>
    <t>NV003</t>
  </si>
  <si>
    <t>Lê Hoàng Cường</t>
  </si>
  <si>
    <t>Kinh doanh</t>
  </si>
  <si>
    <t>NV004</t>
  </si>
  <si>
    <t>Phạm Minh Dũng</t>
  </si>
  <si>
    <t>IT</t>
  </si>
  <si>
    <t>NV005</t>
  </si>
  <si>
    <t>Võ Thị Em</t>
  </si>
  <si>
    <t>NV006</t>
  </si>
  <si>
    <t>Đặng Quốc Phong</t>
  </si>
  <si>
    <t>NV007</t>
  </si>
  <si>
    <t>Bùi Thị Giang</t>
  </si>
  <si>
    <t>NV008</t>
  </si>
  <si>
    <t>Hoàng Văn Hải</t>
  </si>
  <si>
    <t>NV009</t>
  </si>
  <si>
    <t>Ngô Thị Hoa</t>
  </si>
  <si>
    <t>NV010</t>
  </si>
  <si>
    <t>Đỗ Minh Khang</t>
  </si>
  <si>
    <t>NV011</t>
  </si>
  <si>
    <t>Lý Thị Lan</t>
  </si>
  <si>
    <t>NV012</t>
  </si>
  <si>
    <t>Phan Văn Minh</t>
  </si>
  <si>
    <t>NV013</t>
  </si>
  <si>
    <t>Trương Thị Nga</t>
  </si>
  <si>
    <t>NV014</t>
  </si>
  <si>
    <t>Huỳnh Văn Phúc</t>
  </si>
  <si>
    <t>NV015</t>
  </si>
  <si>
    <t>Vũ Thị Quyên</t>
  </si>
  <si>
    <t>Tổng lương</t>
  </si>
  <si>
    <t>Lương trung bình</t>
  </si>
  <si>
    <t>Xếp loại</t>
  </si>
  <si>
    <t>Nhập mã NV</t>
  </si>
  <si>
    <t>Row Labels</t>
  </si>
  <si>
    <t>Grand Total</t>
  </si>
  <si>
    <t>Sum of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</si>
</sst>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[$-1010000]d/m/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165" fontId="0" fillId="0" borderId="0" xfId="0" applyNumberFormat="1"/>
    <xf numFmtId="4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5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ung Công" refreshedDate="46313.719599999997" createdVersion="8" refreshedVersion="8" minRefreshableVersion="3" recordCount="15" xr:uid="{9EE55763-0418-4415-A865-36F5355AD2C6}">
  <cacheSource type="worksheet">
    <worksheetSource ref="A1:F16" sheet="BangLuong"/>
  </cacheSource>
  <cacheFields count="6">
    <cacheField name="Mã NV" numFmtId="0">
      <sharedItems/>
    </cacheField>
    <cacheField name="Họ tên" numFmtId="0">
      <sharedItems/>
    </cacheField>
    <cacheField name="Phòng ban" numFmtId="0">
      <sharedItems count="4">
        <s v="Kế toán"/>
        <s v="Nhân sự"/>
        <s v="Kinh doanh"/>
        <s v="IT"/>
      </sharedItems>
    </cacheField>
    <cacheField name="Lương" numFmtId="43">
      <sharedItems containsSemiMixedTypes="0" containsString="0" containsNumber="1" containsInteger="1" minValue="9500000" maxValue="30000000"/>
    </cacheField>
    <cacheField name="Ngày vào làm" numFmtId="165">
      <sharedItems containsSemiMixedTypes="0" containsNonDate="0" containsDate="1" containsString="0" minDate="2015-10-12T00:00:00" maxDate="2024-01-16T00:00:00"/>
    </cacheField>
    <cacheField name="Xếp loạ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NV001"/>
    <s v="Nguyễn Văn An"/>
    <x v="0"/>
    <n v="12000000"/>
    <d v="2021-03-15T00:00:00"/>
    <s v="Thường"/>
  </r>
  <r>
    <s v="NV002"/>
    <s v="Trần Thị Bình"/>
    <x v="1"/>
    <n v="11000000"/>
    <d v="2020-07-01T00:00:00"/>
    <s v="Thường"/>
  </r>
  <r>
    <s v="NV003"/>
    <s v="Lê Hoàng Cường"/>
    <x v="2"/>
    <n v="15000000"/>
    <d v="2019-11-20T00:00:00"/>
    <s v="Thường"/>
  </r>
  <r>
    <s v="NV012"/>
    <s v="Phan Văn Minh"/>
    <x v="3"/>
    <n v="30000000"/>
    <d v="2015-10-12T00:00:00"/>
    <s v="Cao"/>
  </r>
  <r>
    <s v="NV005"/>
    <s v="Võ Thị Em"/>
    <x v="0"/>
    <n v="13500000"/>
    <d v="2022-01-05T00:00:00"/>
    <s v="Thường"/>
  </r>
  <r>
    <s v="NV006"/>
    <s v="Đặng Quốc Phong"/>
    <x v="3"/>
    <n v="25000000"/>
    <d v="2017-09-18T00:00:00"/>
    <s v="Cao"/>
  </r>
  <r>
    <s v="NV007"/>
    <s v="Bùi Thị Giang"/>
    <x v="2"/>
    <n v="14000000"/>
    <d v="2021-08-23T00:00:00"/>
    <s v="Thường"/>
  </r>
  <r>
    <s v="NV008"/>
    <s v="Hoàng Văn Hải"/>
    <x v="1"/>
    <n v="10500000"/>
    <d v="2023-02-14T00:00:00"/>
    <s v="Thường"/>
  </r>
  <r>
    <s v="NV009"/>
    <s v="Ngô Thị Hoa"/>
    <x v="0"/>
    <n v="16000000"/>
    <d v="2016-12-01T00:00:00"/>
    <s v="Cao"/>
  </r>
  <r>
    <s v="NV004"/>
    <s v="Phạm Minh Dũng"/>
    <x v="3"/>
    <n v="22000000"/>
    <d v="2018-05-10T00:00:00"/>
    <s v="Cao"/>
  </r>
  <r>
    <s v="NV011"/>
    <s v="Lý Thị Lan"/>
    <x v="2"/>
    <n v="17000000"/>
    <d v="2019-06-30T00:00:00"/>
    <s v="Cao"/>
  </r>
  <r>
    <s v="NV010"/>
    <s v="Đỗ Minh Khang"/>
    <x v="3"/>
    <n v="18500000"/>
    <d v="2020-04-27T00:00:00"/>
    <s v="Cao"/>
  </r>
  <r>
    <s v="NV013"/>
    <s v="Trương Thị Nga"/>
    <x v="1"/>
    <n v="12500000"/>
    <d v="2022-09-09T00:00:00"/>
    <s v="Thường"/>
  </r>
  <r>
    <s v="NV014"/>
    <s v="Huỳnh Văn Phúc"/>
    <x v="2"/>
    <n v="9500000"/>
    <d v="2024-01-15T00:00:00"/>
    <s v="Thường"/>
  </r>
  <r>
    <s v="NV015"/>
    <s v="Vũ Thị Quyên"/>
    <x v="0"/>
    <n v="14500000"/>
    <d v="2018-03-03T00:00:00"/>
    <s v="Thườ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2BE78-2BEF-4A14-A167-AB3E0BB503D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dataField="1" numFmtId="43" showAll="0"/>
    <pivotField numFmtId="165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Lương" fld="3" baseField="0" baseItem="0" numFmtId="43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8F4A-4A25-4262-B433-F685C8F85CC9}">
  <dimension ref="A3:B8"/>
  <sheetViews>
    <sheetView tabSelected="1" workbookViewId="0">
      <selection activeCell="K21" sqref="K21"/>
    </sheetView>
  </sheetViews>
  <sheetFormatPr defaultRowHeight="15" x14ac:dyDescent="0.25"/>
  <cols>
    <col min="1" max="1" width="13.42578125" bestFit="1" customWidth="1"/>
    <col min="2" max="2" width="15.28515625" bestFit="1" customWidth="1"/>
  </cols>
  <sheetData>
    <row r="3" spans="1:2" x14ac:dyDescent="0.25">
      <c r="A3" s="4" t="s">
        <v>43</v>
      </c>
      <c r="B3" s="3" t="s">
        <v>45</v>
      </c>
    </row>
    <row r="4" spans="1:2" x14ac:dyDescent="0.25">
      <c r="A4" s="5" t="s">
        <v>16</v>
      </c>
      <c r="B4" s="3">
        <v>95500000</v>
      </c>
    </row>
    <row r="5" spans="1:2" x14ac:dyDescent="0.25">
      <c r="A5" s="5" t="s">
        <v>7</v>
      </c>
      <c r="B5" s="3">
        <v>56000000</v>
      </c>
    </row>
    <row r="6" spans="1:2" x14ac:dyDescent="0.25">
      <c r="A6" s="5" t="s">
        <v>13</v>
      </c>
      <c r="B6" s="3">
        <v>55500000</v>
      </c>
    </row>
    <row r="7" spans="1:2" x14ac:dyDescent="0.25">
      <c r="A7" s="5" t="s">
        <v>10</v>
      </c>
      <c r="B7" s="3">
        <v>34000000</v>
      </c>
    </row>
    <row r="8" spans="1:2" x14ac:dyDescent="0.25">
      <c r="A8" s="5" t="s">
        <v>44</v>
      </c>
      <c r="B8" s="3">
        <v>241000000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E052-30B0-411C-A755-EFFBF4A30DD7}">
  <dimension ref="A1:F19"/>
  <sheetViews>
    <sheetView workbookViewId="0">
      <selection activeCell="B10" sqref="B10"/>
    </sheetView>
  </sheetViews>
  <sheetFormatPr defaultRowHeight="15" x14ac:dyDescent="0.25"/>
  <cols>
    <col min="2" max="2" width="19.140625" customWidth="1"/>
    <col min="3" max="3" width="20" customWidth="1"/>
    <col min="4" max="4" width="30.5703125" customWidth="1"/>
    <col min="5" max="5" width="14.140625" customWidth="1"/>
    <col min="6" max="6" width="15.42578125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41</v>
      </c>
    </row>
    <row r="2" spans="1:6" x14ac:dyDescent="0.25">
      <c r="A2" t="s">
        <v>5</v>
      </c>
      <c r="B2" t="s">
        <v>6</v>
      </c>
      <c r="C2" t="s">
        <v>7</v>
      </c>
      <c r="D2" s="1">
        <v>12000000</v>
      </c>
      <c r="E2" s="2">
        <v>44270</v>
      </c>
      <c r="F2" t="str">
        <f>IF(D2&gt;15000000,"Cao","Thường")</f>
        <v>Thường</v>
      </c>
    </row>
    <row r="3" spans="1:6" x14ac:dyDescent="0.25">
      <c r="A3" t="s">
        <v>8</v>
      </c>
      <c r="B3" t="s">
        <v>9</v>
      </c>
      <c r="C3" t="s">
        <v>10</v>
      </c>
      <c r="D3" s="1">
        <v>11000000</v>
      </c>
      <c r="E3" s="2">
        <v>44013</v>
      </c>
      <c r="F3" t="str">
        <f t="shared" ref="F3:F16" si="0">IF(D3&gt;15000000,"Cao","Thường")</f>
        <v>Thường</v>
      </c>
    </row>
    <row r="4" spans="1:6" x14ac:dyDescent="0.25">
      <c r="A4" t="s">
        <v>11</v>
      </c>
      <c r="B4" t="s">
        <v>12</v>
      </c>
      <c r="C4" t="s">
        <v>13</v>
      </c>
      <c r="D4" s="1">
        <v>15000000</v>
      </c>
      <c r="E4" s="2">
        <v>43789</v>
      </c>
      <c r="F4" t="str">
        <f t="shared" si="0"/>
        <v>Thường</v>
      </c>
    </row>
    <row r="5" spans="1:6" x14ac:dyDescent="0.25">
      <c r="A5" t="s">
        <v>31</v>
      </c>
      <c r="B5" t="s">
        <v>32</v>
      </c>
      <c r="C5" t="s">
        <v>16</v>
      </c>
      <c r="D5" s="1">
        <v>30000000</v>
      </c>
      <c r="E5" s="2">
        <v>42289</v>
      </c>
      <c r="F5" t="str">
        <f>IF(D5&gt;15000000,"Cao","Thường")</f>
        <v>Cao</v>
      </c>
    </row>
    <row r="6" spans="1:6" x14ac:dyDescent="0.25">
      <c r="A6" t="s">
        <v>17</v>
      </c>
      <c r="B6" t="s">
        <v>18</v>
      </c>
      <c r="C6" t="s">
        <v>7</v>
      </c>
      <c r="D6" s="1">
        <v>13500000</v>
      </c>
      <c r="E6" s="2">
        <v>44566</v>
      </c>
      <c r="F6" t="str">
        <f>IF(D6&gt;15000000,"Cao","Thường")</f>
        <v>Thường</v>
      </c>
    </row>
    <row r="7" spans="1:6" x14ac:dyDescent="0.25">
      <c r="A7" t="s">
        <v>19</v>
      </c>
      <c r="B7" t="s">
        <v>20</v>
      </c>
      <c r="C7" t="s">
        <v>16</v>
      </c>
      <c r="D7" s="1">
        <v>25000000</v>
      </c>
      <c r="E7" s="2">
        <v>42996</v>
      </c>
      <c r="F7" t="str">
        <f>IF(D7&gt;15000000,"Cao","Thường")</f>
        <v>Cao</v>
      </c>
    </row>
    <row r="8" spans="1:6" x14ac:dyDescent="0.25">
      <c r="A8" t="s">
        <v>21</v>
      </c>
      <c r="B8" t="s">
        <v>22</v>
      </c>
      <c r="C8" t="s">
        <v>13</v>
      </c>
      <c r="D8" s="1">
        <v>14000000</v>
      </c>
      <c r="E8" s="2">
        <v>44431</v>
      </c>
      <c r="F8" t="str">
        <f>IF(D8&gt;15000000,"Cao","Thường")</f>
        <v>Thường</v>
      </c>
    </row>
    <row r="9" spans="1:6" x14ac:dyDescent="0.25">
      <c r="A9" t="s">
        <v>23</v>
      </c>
      <c r="B9" t="s">
        <v>24</v>
      </c>
      <c r="C9" t="s">
        <v>10</v>
      </c>
      <c r="D9" s="1">
        <v>10500000</v>
      </c>
      <c r="E9" s="2">
        <v>44971</v>
      </c>
      <c r="F9" t="str">
        <f>IF(D9&gt;15000000,"Cao","Thường")</f>
        <v>Thường</v>
      </c>
    </row>
    <row r="10" spans="1:6" x14ac:dyDescent="0.25">
      <c r="A10" t="s">
        <v>25</v>
      </c>
      <c r="B10" t="s">
        <v>26</v>
      </c>
      <c r="C10" t="s">
        <v>7</v>
      </c>
      <c r="D10" s="1">
        <v>16000000</v>
      </c>
      <c r="E10" s="2">
        <v>42705</v>
      </c>
      <c r="F10" t="str">
        <f>IF(D10&gt;15000000,"Cao","Thường")</f>
        <v>Cao</v>
      </c>
    </row>
    <row r="11" spans="1:6" x14ac:dyDescent="0.25">
      <c r="A11" t="s">
        <v>14</v>
      </c>
      <c r="B11" t="s">
        <v>15</v>
      </c>
      <c r="C11" t="s">
        <v>16</v>
      </c>
      <c r="D11" s="1">
        <v>22000000</v>
      </c>
      <c r="E11" s="2">
        <v>43230</v>
      </c>
      <c r="F11" t="str">
        <f>IF(D11&gt;15000000,"Cao","Thường")</f>
        <v>Cao</v>
      </c>
    </row>
    <row r="12" spans="1:6" x14ac:dyDescent="0.25">
      <c r="A12" t="s">
        <v>29</v>
      </c>
      <c r="B12" t="s">
        <v>30</v>
      </c>
      <c r="C12" t="s">
        <v>13</v>
      </c>
      <c r="D12" s="1">
        <v>17000000</v>
      </c>
      <c r="E12" s="2">
        <v>43646</v>
      </c>
      <c r="F12" t="str">
        <f>IF(D12&gt;15000000,"Cao","Thường")</f>
        <v>Cao</v>
      </c>
    </row>
    <row r="13" spans="1:6" x14ac:dyDescent="0.25">
      <c r="A13" t="s">
        <v>27</v>
      </c>
      <c r="B13" t="s">
        <v>28</v>
      </c>
      <c r="C13" t="s">
        <v>16</v>
      </c>
      <c r="D13" s="1">
        <v>18500000</v>
      </c>
      <c r="E13" s="2">
        <v>43948</v>
      </c>
      <c r="F13" t="str">
        <f>IF(D13&gt;15000000,"Cao","Thường")</f>
        <v>Cao</v>
      </c>
    </row>
    <row r="14" spans="1:6" x14ac:dyDescent="0.25">
      <c r="A14" t="s">
        <v>33</v>
      </c>
      <c r="B14" t="s">
        <v>34</v>
      </c>
      <c r="C14" t="s">
        <v>10</v>
      </c>
      <c r="D14" s="1">
        <v>12500000</v>
      </c>
      <c r="E14" s="2">
        <v>44813</v>
      </c>
      <c r="F14" t="str">
        <f t="shared" si="0"/>
        <v>Thường</v>
      </c>
    </row>
    <row r="15" spans="1:6" x14ac:dyDescent="0.25">
      <c r="A15" t="s">
        <v>35</v>
      </c>
      <c r="B15" t="s">
        <v>36</v>
      </c>
      <c r="C15" t="s">
        <v>13</v>
      </c>
      <c r="D15" s="1">
        <v>9500000</v>
      </c>
      <c r="E15" s="2">
        <v>45306</v>
      </c>
      <c r="F15" t="str">
        <f t="shared" si="0"/>
        <v>Thường</v>
      </c>
    </row>
    <row r="16" spans="1:6" x14ac:dyDescent="0.25">
      <c r="A16" t="s">
        <v>37</v>
      </c>
      <c r="B16" t="s">
        <v>38</v>
      </c>
      <c r="C16" t="s">
        <v>7</v>
      </c>
      <c r="D16" s="1">
        <v>14500000</v>
      </c>
      <c r="E16" s="2">
        <v>43162</v>
      </c>
      <c r="F16" t="str">
        <f t="shared" si="0"/>
        <v>Thường</v>
      </c>
    </row>
    <row r="18" spans="1:4" x14ac:dyDescent="0.25">
      <c r="A18" t="s">
        <v>39</v>
      </c>
      <c r="D18" s="3">
        <f>SUM(D2:D16)</f>
        <v>241000000</v>
      </c>
    </row>
    <row r="19" spans="1:4" x14ac:dyDescent="0.25">
      <c r="A19" t="s">
        <v>40</v>
      </c>
      <c r="D19" s="3">
        <f>AVERAGE(D2:D16)</f>
        <v>16066666.666666666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7163-03F6-4E13-B4C7-41BB185855A0}">
  <dimension ref="A1:B4"/>
  <sheetViews>
    <sheetView workbookViewId="0">
      <selection activeCell="C14" sqref="C14"/>
    </sheetView>
  </sheetViews>
  <sheetFormatPr defaultRowHeight="15" x14ac:dyDescent="0.25"/>
  <cols>
    <col min="1" max="1" width="18.7109375" customWidth="1"/>
    <col min="2" max="2" width="17.28515625" customWidth="1"/>
  </cols>
  <sheetData>
    <row r="1" spans="1:2" x14ac:dyDescent="0.25">
      <c r="A1" t="s">
        <v>42</v>
      </c>
      <c r="B1" t="s">
        <v>11</v>
      </c>
    </row>
    <row r="2" spans="1:2" x14ac:dyDescent="0.25">
      <c r="A2" t="s">
        <v>1</v>
      </c>
      <c r="B2" t="str">
        <f>VLOOKUP(B1,BangLuong!A2:E16,2,FALSE)</f>
        <v>Lê Hoàng Cường</v>
      </c>
    </row>
    <row r="3" spans="1:2" x14ac:dyDescent="0.25">
      <c r="A3" t="s">
        <v>3</v>
      </c>
      <c r="B3">
        <f>VLOOKUP(B1,BangLuong!A2:E16,4,FALSE)</f>
        <v>15000000</v>
      </c>
    </row>
    <row r="4" spans="1:2" x14ac:dyDescent="0.25">
      <c r="A4" t="s">
        <v>2</v>
      </c>
      <c r="B4" t="str">
        <f>_xlfn.XLOOKUP(B1,BangLuong!A2:A16,BangLuong!C2:C16,"Không tìm thấy")</f>
        <v>Kinh doanh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BangLuong</vt:lpstr>
      <vt:lpstr>TraCuu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Công Trung</dc:creator>
  <cp:lastModifiedBy>Nguyễn Công Trung</cp:lastModifiedBy>
  <dcterms:created xsi:type="dcterms:W3CDTF">2026-10-18T09:53:16Z</dcterms:created>
  <dcterms:modified xsi:type="dcterms:W3CDTF">2026-10-18T10:18:30Z</dcterms:modified>
</cp:coreProperties>
</file>